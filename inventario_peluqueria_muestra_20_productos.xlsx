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vimientos" sheetId="1" state="visible" r:id="rId1"/>
    <sheet xmlns:r="http://schemas.openxmlformats.org/officeDocument/2006/relationships" name="Inventario_vivo" sheetId="2" state="visible" r:id="rId2"/>
    <sheet xmlns:r="http://schemas.openxmlformats.org/officeDocument/2006/relationships" name="Compras_sugeridas" sheetId="3" state="visible" r:id="rId3"/>
    <sheet xmlns:r="http://schemas.openxmlformats.org/officeDocument/2006/relationships" name="Dashboar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dxfs count="3">
    <dxf>
      <fill>
        <patternFill patternType="solid">
          <fgColor rgb="00F8CBAD"/>
        </patternFill>
      </fill>
    </dxf>
    <dxf>
      <fill>
        <patternFill patternType="solid">
          <fgColor rgb="00FFF2CC"/>
        </patternFill>
      </fill>
    </dxf>
    <dxf>
      <fill>
        <patternFill patternType="solid">
          <fgColor rgb="00C6EF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4" customWidth="1" min="3" max="3"/>
    <col width="10" customWidth="1" min="4" max="4"/>
    <col width="12" customWidth="1" min="5" max="5"/>
    <col width="13" customWidth="1" min="6" max="6"/>
    <col width="18" customWidth="1" min="7" max="7"/>
  </cols>
  <sheetData>
    <row r="1">
      <c r="A1" s="1" t="inlineStr">
        <is>
          <t>Fecha</t>
        </is>
      </c>
      <c r="B1" s="1" t="inlineStr">
        <is>
          <t>Producto</t>
        </is>
      </c>
      <c r="C1" s="1" t="inlineStr">
        <is>
          <t>Tipo</t>
        </is>
      </c>
      <c r="D1" s="1" t="inlineStr">
        <is>
          <t>Cantidad</t>
        </is>
      </c>
      <c r="E1" s="1" t="inlineStr">
        <is>
          <t>Costo Unit</t>
        </is>
      </c>
      <c r="F1" s="1" t="inlineStr">
        <is>
          <t>Precio Unit</t>
        </is>
      </c>
      <c r="G1" s="1" t="inlineStr">
        <is>
          <t>Nota</t>
        </is>
      </c>
    </row>
    <row r="2">
      <c r="A2" t="inlineStr">
        <is>
          <t>2026-03-09</t>
        </is>
      </c>
      <c r="B2" t="inlineStr">
        <is>
          <t>Shampoo Hidratante 500ml</t>
        </is>
      </c>
      <c r="C2" t="inlineStr">
        <is>
          <t>Salida Venta</t>
        </is>
      </c>
      <c r="D2" t="n">
        <v>2</v>
      </c>
      <c r="E2" t="n">
        <v>8.5</v>
      </c>
      <c r="F2" t="n">
        <v>18</v>
      </c>
      <c r="G2" t="inlineStr">
        <is>
          <t>Venta mostrador</t>
        </is>
      </c>
    </row>
    <row r="3">
      <c r="A3" t="inlineStr">
        <is>
          <t>2026-03-09</t>
        </is>
      </c>
      <c r="B3" t="inlineStr">
        <is>
          <t>Tinte Negro 1.0</t>
        </is>
      </c>
      <c r="C3" t="inlineStr">
        <is>
          <t>Salida Uso</t>
        </is>
      </c>
      <c r="D3" t="n">
        <v>3</v>
      </c>
      <c r="E3" t="n">
        <v>4</v>
      </c>
      <c r="F3" t="n">
        <v>12</v>
      </c>
      <c r="G3" t="inlineStr">
        <is>
          <t>Servicio color</t>
        </is>
      </c>
    </row>
    <row r="4">
      <c r="A4" t="inlineStr">
        <is>
          <t>2026-03-09</t>
        </is>
      </c>
      <c r="B4" t="inlineStr">
        <is>
          <t>Guantes Nitrilo (caja 100)</t>
        </is>
      </c>
      <c r="C4" t="inlineStr">
        <is>
          <t>Salida Uso</t>
        </is>
      </c>
      <c r="D4" t="n">
        <v>1</v>
      </c>
      <c r="E4" t="n">
        <v>5.8</v>
      </c>
      <c r="F4" t="n">
        <v>12</v>
      </c>
      <c r="G4" t="inlineStr">
        <is>
          <t>Uso interno</t>
        </is>
      </c>
    </row>
    <row r="5">
      <c r="A5" t="inlineStr">
        <is>
          <t>2026-03-09</t>
        </is>
      </c>
      <c r="B5" t="inlineStr">
        <is>
          <t>Polvo Decolorante 500g</t>
        </is>
      </c>
      <c r="C5" t="inlineStr">
        <is>
          <t>Entrada</t>
        </is>
      </c>
      <c r="D5" t="n">
        <v>4</v>
      </c>
      <c r="E5" t="n">
        <v>13</v>
      </c>
      <c r="F5" t="n">
        <v>29</v>
      </c>
      <c r="G5" t="inlineStr">
        <is>
          <t>Compra proveedor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2" customWidth="1" min="2" max="2"/>
    <col width="16" customWidth="1" min="3" max="3"/>
    <col width="7" customWidth="1" min="4" max="4"/>
    <col width="8" customWidth="1" min="5" max="5"/>
    <col width="15" customWidth="1" min="6" max="6"/>
    <col width="40" customWidth="1" min="7" max="7"/>
    <col width="40" customWidth="1" min="8" max="8"/>
    <col width="40" customWidth="1" min="9" max="9"/>
    <col width="18" customWidth="1" min="10" max="10"/>
    <col width="11" customWidth="1" min="11" max="11"/>
    <col width="40" customWidth="1" min="12" max="12"/>
    <col width="18" customWidth="1" min="13" max="13"/>
  </cols>
  <sheetData>
    <row r="1">
      <c r="A1" s="1" t="inlineStr">
        <is>
          <t>SKU</t>
        </is>
      </c>
      <c r="B1" s="1" t="inlineStr">
        <is>
          <t>Producto</t>
        </is>
      </c>
      <c r="C1" s="1" t="inlineStr">
        <is>
          <t>Categoria</t>
        </is>
      </c>
      <c r="D1" s="1" t="inlineStr">
        <is>
          <t>Costo</t>
        </is>
      </c>
      <c r="E1" s="1" t="inlineStr">
        <is>
          <t>Precio</t>
        </is>
      </c>
      <c r="F1" s="1" t="inlineStr">
        <is>
          <t>Stock Inicial</t>
        </is>
      </c>
      <c r="G1" s="1" t="inlineStr">
        <is>
          <t>Entradas</t>
        </is>
      </c>
      <c r="H1" s="1" t="inlineStr">
        <is>
          <t>Salidas Venta</t>
        </is>
      </c>
      <c r="I1" s="1" t="inlineStr">
        <is>
          <t>Salidas Uso Interno</t>
        </is>
      </c>
      <c r="J1" s="1" t="inlineStr">
        <is>
          <t>Stock Actual</t>
        </is>
      </c>
      <c r="K1" s="1" t="inlineStr">
        <is>
          <t>Stock Min</t>
        </is>
      </c>
      <c r="L1" s="1" t="inlineStr">
        <is>
          <t>Estado</t>
        </is>
      </c>
      <c r="M1" s="1" t="inlineStr">
        <is>
          <t>Valor Inventario</t>
        </is>
      </c>
    </row>
    <row r="2">
      <c r="A2" t="inlineStr">
        <is>
          <t>P001</t>
        </is>
      </c>
      <c r="B2" t="inlineStr">
        <is>
          <t>Shampoo Hidratante 500ml</t>
        </is>
      </c>
      <c r="C2" t="inlineStr">
        <is>
          <t>Shampoo</t>
        </is>
      </c>
      <c r="D2" t="n">
        <v>8.5</v>
      </c>
      <c r="E2" t="n">
        <v>18</v>
      </c>
      <c r="F2" t="n">
        <v>12</v>
      </c>
      <c r="G2">
        <f>SUMIFS(Movimientos!$D:$D,Movimientos!$B:$B,B2,Movimientos!$C:$C,"Entrada")</f>
        <v/>
      </c>
      <c r="H2">
        <f>SUMIFS(Movimientos!$D:$D,Movimientos!$B:$B,B2,Movimientos!$C:$C,"Salida Venta")</f>
        <v/>
      </c>
      <c r="I2">
        <f>SUMIFS(Movimientos!$D:$D,Movimientos!$B:$B,B2,Movimientos!$C:$C,"Salida Uso")</f>
        <v/>
      </c>
      <c r="J2">
        <f>F2+G2-H2-I2</f>
        <v/>
      </c>
      <c r="K2" t="n">
        <v>5</v>
      </c>
      <c r="L2">
        <f>IF(J2&lt;=0,"CRITICO",IF(J2&lt;=K2,"REORDEN","OK"))</f>
        <v/>
      </c>
      <c r="M2">
        <f>J2*D2</f>
        <v/>
      </c>
    </row>
    <row r="3">
      <c r="A3" t="inlineStr">
        <is>
          <t>P002</t>
        </is>
      </c>
      <c r="B3" t="inlineStr">
        <is>
          <t>Acondicionador Reparador 500ml</t>
        </is>
      </c>
      <c r="C3" t="inlineStr">
        <is>
          <t>Acondicionador</t>
        </is>
      </c>
      <c r="D3" t="n">
        <v>9</v>
      </c>
      <c r="E3" t="n">
        <v>19</v>
      </c>
      <c r="F3" t="n">
        <v>10</v>
      </c>
      <c r="G3">
        <f>SUMIFS(Movimientos!$D:$D,Movimientos!$B:$B,B3,Movimientos!$C:$C,"Entrada")</f>
        <v/>
      </c>
      <c r="H3">
        <f>SUMIFS(Movimientos!$D:$D,Movimientos!$B:$B,B3,Movimientos!$C:$C,"Salida Venta")</f>
        <v/>
      </c>
      <c r="I3">
        <f>SUMIFS(Movimientos!$D:$D,Movimientos!$B:$B,B3,Movimientos!$C:$C,"Salida Uso")</f>
        <v/>
      </c>
      <c r="J3">
        <f>F3+G3-H3-I3</f>
        <v/>
      </c>
      <c r="K3" t="n">
        <v>4</v>
      </c>
      <c r="L3">
        <f>IF(J3&lt;=0,"CRITICO",IF(J3&lt;=K3,"REORDEN","OK"))</f>
        <v/>
      </c>
      <c r="M3">
        <f>J3*D3</f>
        <v/>
      </c>
    </row>
    <row r="4">
      <c r="A4" t="inlineStr">
        <is>
          <t>P003</t>
        </is>
      </c>
      <c r="B4" t="inlineStr">
        <is>
          <t>Mascarilla Nutritiva 300ml</t>
        </is>
      </c>
      <c r="C4" t="inlineStr">
        <is>
          <t>Tratamiento</t>
        </is>
      </c>
      <c r="D4" t="n">
        <v>11.5</v>
      </c>
      <c r="E4" t="n">
        <v>24</v>
      </c>
      <c r="F4" t="n">
        <v>8</v>
      </c>
      <c r="G4">
        <f>SUMIFS(Movimientos!$D:$D,Movimientos!$B:$B,B4,Movimientos!$C:$C,"Entrada")</f>
        <v/>
      </c>
      <c r="H4">
        <f>SUMIFS(Movimientos!$D:$D,Movimientos!$B:$B,B4,Movimientos!$C:$C,"Salida Venta")</f>
        <v/>
      </c>
      <c r="I4">
        <f>SUMIFS(Movimientos!$D:$D,Movimientos!$B:$B,B4,Movimientos!$C:$C,"Salida Uso")</f>
        <v/>
      </c>
      <c r="J4">
        <f>F4+G4-H4-I4</f>
        <v/>
      </c>
      <c r="K4" t="n">
        <v>3</v>
      </c>
      <c r="L4">
        <f>IF(J4&lt;=0,"CRITICO",IF(J4&lt;=K4,"REORDEN","OK"))</f>
        <v/>
      </c>
      <c r="M4">
        <f>J4*D4</f>
        <v/>
      </c>
    </row>
    <row r="5">
      <c r="A5" t="inlineStr">
        <is>
          <t>P004</t>
        </is>
      </c>
      <c r="B5" t="inlineStr">
        <is>
          <t>Ampolla Keratina 10ml</t>
        </is>
      </c>
      <c r="C5" t="inlineStr">
        <is>
          <t>Tratamiento</t>
        </is>
      </c>
      <c r="D5" t="n">
        <v>2.2</v>
      </c>
      <c r="E5" t="n">
        <v>6</v>
      </c>
      <c r="F5" t="n">
        <v>30</v>
      </c>
      <c r="G5">
        <f>SUMIFS(Movimientos!$D:$D,Movimientos!$B:$B,B5,Movimientos!$C:$C,"Entrada")</f>
        <v/>
      </c>
      <c r="H5">
        <f>SUMIFS(Movimientos!$D:$D,Movimientos!$B:$B,B5,Movimientos!$C:$C,"Salida Venta")</f>
        <v/>
      </c>
      <c r="I5">
        <f>SUMIFS(Movimientos!$D:$D,Movimientos!$B:$B,B5,Movimientos!$C:$C,"Salida Uso")</f>
        <v/>
      </c>
      <c r="J5">
        <f>F5+G5-H5-I5</f>
        <v/>
      </c>
      <c r="K5" t="n">
        <v>10</v>
      </c>
      <c r="L5">
        <f>IF(J5&lt;=0,"CRITICO",IF(J5&lt;=K5,"REORDEN","OK"))</f>
        <v/>
      </c>
      <c r="M5">
        <f>J5*D5</f>
        <v/>
      </c>
    </row>
    <row r="6">
      <c r="A6" t="inlineStr">
        <is>
          <t>P005</t>
        </is>
      </c>
      <c r="B6" t="inlineStr">
        <is>
          <t>Tinte Negro 1.0</t>
        </is>
      </c>
      <c r="C6" t="inlineStr">
        <is>
          <t>Coloracion</t>
        </is>
      </c>
      <c r="D6" t="n">
        <v>4</v>
      </c>
      <c r="E6" t="n">
        <v>12</v>
      </c>
      <c r="F6" t="n">
        <v>20</v>
      </c>
      <c r="G6">
        <f>SUMIFS(Movimientos!$D:$D,Movimientos!$B:$B,B6,Movimientos!$C:$C,"Entrada")</f>
        <v/>
      </c>
      <c r="H6">
        <f>SUMIFS(Movimientos!$D:$D,Movimientos!$B:$B,B6,Movimientos!$C:$C,"Salida Venta")</f>
        <v/>
      </c>
      <c r="I6">
        <f>SUMIFS(Movimientos!$D:$D,Movimientos!$B:$B,B6,Movimientos!$C:$C,"Salida Uso")</f>
        <v/>
      </c>
      <c r="J6">
        <f>F6+G6-H6-I6</f>
        <v/>
      </c>
      <c r="K6" t="n">
        <v>8</v>
      </c>
      <c r="L6">
        <f>IF(J6&lt;=0,"CRITICO",IF(J6&lt;=K6,"REORDEN","OK"))</f>
        <v/>
      </c>
      <c r="M6">
        <f>J6*D6</f>
        <v/>
      </c>
    </row>
    <row r="7">
      <c r="A7" t="inlineStr">
        <is>
          <t>P006</t>
        </is>
      </c>
      <c r="B7" t="inlineStr">
        <is>
          <t>Tinte Castaño 4.0</t>
        </is>
      </c>
      <c r="C7" t="inlineStr">
        <is>
          <t>Coloracion</t>
        </is>
      </c>
      <c r="D7" t="n">
        <v>4</v>
      </c>
      <c r="E7" t="n">
        <v>12</v>
      </c>
      <c r="F7" t="n">
        <v>18</v>
      </c>
      <c r="G7">
        <f>SUMIFS(Movimientos!$D:$D,Movimientos!$B:$B,B7,Movimientos!$C:$C,"Entrada")</f>
        <v/>
      </c>
      <c r="H7">
        <f>SUMIFS(Movimientos!$D:$D,Movimientos!$B:$B,B7,Movimientos!$C:$C,"Salida Venta")</f>
        <v/>
      </c>
      <c r="I7">
        <f>SUMIFS(Movimientos!$D:$D,Movimientos!$B:$B,B7,Movimientos!$C:$C,"Salida Uso")</f>
        <v/>
      </c>
      <c r="J7">
        <f>F7+G7-H7-I7</f>
        <v/>
      </c>
      <c r="K7" t="n">
        <v>8</v>
      </c>
      <c r="L7">
        <f>IF(J7&lt;=0,"CRITICO",IF(J7&lt;=K7,"REORDEN","OK"))</f>
        <v/>
      </c>
      <c r="M7">
        <f>J7*D7</f>
        <v/>
      </c>
    </row>
    <row r="8">
      <c r="A8" t="inlineStr">
        <is>
          <t>P007</t>
        </is>
      </c>
      <c r="B8" t="inlineStr">
        <is>
          <t>Tinte Rubio 8.0</t>
        </is>
      </c>
      <c r="C8" t="inlineStr">
        <is>
          <t>Coloracion</t>
        </is>
      </c>
      <c r="D8" t="n">
        <v>4.2</v>
      </c>
      <c r="E8" t="n">
        <v>12.5</v>
      </c>
      <c r="F8" t="n">
        <v>16</v>
      </c>
      <c r="G8">
        <f>SUMIFS(Movimientos!$D:$D,Movimientos!$B:$B,B8,Movimientos!$C:$C,"Entrada")</f>
        <v/>
      </c>
      <c r="H8">
        <f>SUMIFS(Movimientos!$D:$D,Movimientos!$B:$B,B8,Movimientos!$C:$C,"Salida Venta")</f>
        <v/>
      </c>
      <c r="I8">
        <f>SUMIFS(Movimientos!$D:$D,Movimientos!$B:$B,B8,Movimientos!$C:$C,"Salida Uso")</f>
        <v/>
      </c>
      <c r="J8">
        <f>F8+G8-H8-I8</f>
        <v/>
      </c>
      <c r="K8" t="n">
        <v>7</v>
      </c>
      <c r="L8">
        <f>IF(J8&lt;=0,"CRITICO",IF(J8&lt;=K8,"REORDEN","OK"))</f>
        <v/>
      </c>
      <c r="M8">
        <f>J8*D8</f>
        <v/>
      </c>
    </row>
    <row r="9">
      <c r="A9" t="inlineStr">
        <is>
          <t>P008</t>
        </is>
      </c>
      <c r="B9" t="inlineStr">
        <is>
          <t>Oxidante 20 vol 1L</t>
        </is>
      </c>
      <c r="C9" t="inlineStr">
        <is>
          <t>Coloracion</t>
        </is>
      </c>
      <c r="D9" t="n">
        <v>6.5</v>
      </c>
      <c r="E9" t="n">
        <v>15</v>
      </c>
      <c r="F9" t="n">
        <v>14</v>
      </c>
      <c r="G9">
        <f>SUMIFS(Movimientos!$D:$D,Movimientos!$B:$B,B9,Movimientos!$C:$C,"Entrada")</f>
        <v/>
      </c>
      <c r="H9">
        <f>SUMIFS(Movimientos!$D:$D,Movimientos!$B:$B,B9,Movimientos!$C:$C,"Salida Venta")</f>
        <v/>
      </c>
      <c r="I9">
        <f>SUMIFS(Movimientos!$D:$D,Movimientos!$B:$B,B9,Movimientos!$C:$C,"Salida Uso")</f>
        <v/>
      </c>
      <c r="J9">
        <f>F9+G9-H9-I9</f>
        <v/>
      </c>
      <c r="K9" t="n">
        <v>5</v>
      </c>
      <c r="L9">
        <f>IF(J9&lt;=0,"CRITICO",IF(J9&lt;=K9,"REORDEN","OK"))</f>
        <v/>
      </c>
      <c r="M9">
        <f>J9*D9</f>
        <v/>
      </c>
    </row>
    <row r="10">
      <c r="A10" t="inlineStr">
        <is>
          <t>P009</t>
        </is>
      </c>
      <c r="B10" t="inlineStr">
        <is>
          <t>Oxidante 30 vol 1L</t>
        </is>
      </c>
      <c r="C10" t="inlineStr">
        <is>
          <t>Coloracion</t>
        </is>
      </c>
      <c r="D10" t="n">
        <v>6.5</v>
      </c>
      <c r="E10" t="n">
        <v>15</v>
      </c>
      <c r="F10" t="n">
        <v>12</v>
      </c>
      <c r="G10">
        <f>SUMIFS(Movimientos!$D:$D,Movimientos!$B:$B,B10,Movimientos!$C:$C,"Entrada")</f>
        <v/>
      </c>
      <c r="H10">
        <f>SUMIFS(Movimientos!$D:$D,Movimientos!$B:$B,B10,Movimientos!$C:$C,"Salida Venta")</f>
        <v/>
      </c>
      <c r="I10">
        <f>SUMIFS(Movimientos!$D:$D,Movimientos!$B:$B,B10,Movimientos!$C:$C,"Salida Uso")</f>
        <v/>
      </c>
      <c r="J10">
        <f>F10+G10-H10-I10</f>
        <v/>
      </c>
      <c r="K10" t="n">
        <v>5</v>
      </c>
      <c r="L10">
        <f>IF(J10&lt;=0,"CRITICO",IF(J10&lt;=K10,"REORDEN","OK"))</f>
        <v/>
      </c>
      <c r="M10">
        <f>J10*D10</f>
        <v/>
      </c>
    </row>
    <row r="11">
      <c r="A11" t="inlineStr">
        <is>
          <t>P010</t>
        </is>
      </c>
      <c r="B11" t="inlineStr">
        <is>
          <t>Polvo Decolorante 500g</t>
        </is>
      </c>
      <c r="C11" t="inlineStr">
        <is>
          <t>Coloracion</t>
        </is>
      </c>
      <c r="D11" t="n">
        <v>13</v>
      </c>
      <c r="E11" t="n">
        <v>29</v>
      </c>
      <c r="F11" t="n">
        <v>9</v>
      </c>
      <c r="G11">
        <f>SUMIFS(Movimientos!$D:$D,Movimientos!$B:$B,B11,Movimientos!$C:$C,"Entrada")</f>
        <v/>
      </c>
      <c r="H11">
        <f>SUMIFS(Movimientos!$D:$D,Movimientos!$B:$B,B11,Movimientos!$C:$C,"Salida Venta")</f>
        <v/>
      </c>
      <c r="I11">
        <f>SUMIFS(Movimientos!$D:$D,Movimientos!$B:$B,B11,Movimientos!$C:$C,"Salida Uso")</f>
        <v/>
      </c>
      <c r="J11">
        <f>F11+G11-H11-I11</f>
        <v/>
      </c>
      <c r="K11" t="n">
        <v>3</v>
      </c>
      <c r="L11">
        <f>IF(J11&lt;=0,"CRITICO",IF(J11&lt;=K11,"REORDEN","OK"))</f>
        <v/>
      </c>
      <c r="M11">
        <f>J11*D11</f>
        <v/>
      </c>
    </row>
    <row r="12">
      <c r="A12" t="inlineStr">
        <is>
          <t>P011</t>
        </is>
      </c>
      <c r="B12" t="inlineStr">
        <is>
          <t>Spray Protector Térmico 250ml</t>
        </is>
      </c>
      <c r="C12" t="inlineStr">
        <is>
          <t>Styling</t>
        </is>
      </c>
      <c r="D12" t="n">
        <v>7.2</v>
      </c>
      <c r="E12" t="n">
        <v>17</v>
      </c>
      <c r="F12" t="n">
        <v>11</v>
      </c>
      <c r="G12">
        <f>SUMIFS(Movimientos!$D:$D,Movimientos!$B:$B,B12,Movimientos!$C:$C,"Entrada")</f>
        <v/>
      </c>
      <c r="H12">
        <f>SUMIFS(Movimientos!$D:$D,Movimientos!$B:$B,B12,Movimientos!$C:$C,"Salida Venta")</f>
        <v/>
      </c>
      <c r="I12">
        <f>SUMIFS(Movimientos!$D:$D,Movimientos!$B:$B,B12,Movimientos!$C:$C,"Salida Uso")</f>
        <v/>
      </c>
      <c r="J12">
        <f>F12+G12-H12-I12</f>
        <v/>
      </c>
      <c r="K12" t="n">
        <v>4</v>
      </c>
      <c r="L12">
        <f>IF(J12&lt;=0,"CRITICO",IF(J12&lt;=K12,"REORDEN","OK"))</f>
        <v/>
      </c>
      <c r="M12">
        <f>J12*D12</f>
        <v/>
      </c>
    </row>
    <row r="13">
      <c r="A13" t="inlineStr">
        <is>
          <t>P012</t>
        </is>
      </c>
      <c r="B13" t="inlineStr">
        <is>
          <t>Gel Fijador 300ml</t>
        </is>
      </c>
      <c r="C13" t="inlineStr">
        <is>
          <t>Styling</t>
        </is>
      </c>
      <c r="D13" t="n">
        <v>5</v>
      </c>
      <c r="E13" t="n">
        <v>13</v>
      </c>
      <c r="F13" t="n">
        <v>13</v>
      </c>
      <c r="G13">
        <f>SUMIFS(Movimientos!$D:$D,Movimientos!$B:$B,B13,Movimientos!$C:$C,"Entrada")</f>
        <v/>
      </c>
      <c r="H13">
        <f>SUMIFS(Movimientos!$D:$D,Movimientos!$B:$B,B13,Movimientos!$C:$C,"Salida Venta")</f>
        <v/>
      </c>
      <c r="I13">
        <f>SUMIFS(Movimientos!$D:$D,Movimientos!$B:$B,B13,Movimientos!$C:$C,"Salida Uso")</f>
        <v/>
      </c>
      <c r="J13">
        <f>F13+G13-H13-I13</f>
        <v/>
      </c>
      <c r="K13" t="n">
        <v>5</v>
      </c>
      <c r="L13">
        <f>IF(J13&lt;=0,"CRITICO",IF(J13&lt;=K13,"REORDEN","OK"))</f>
        <v/>
      </c>
      <c r="M13">
        <f>J13*D13</f>
        <v/>
      </c>
    </row>
    <row r="14">
      <c r="A14" t="inlineStr">
        <is>
          <t>P013</t>
        </is>
      </c>
      <c r="B14" t="inlineStr">
        <is>
          <t>Cera Moldeadora 100g</t>
        </is>
      </c>
      <c r="C14" t="inlineStr">
        <is>
          <t>Styling</t>
        </is>
      </c>
      <c r="D14" t="n">
        <v>4.8</v>
      </c>
      <c r="E14" t="n">
        <v>12</v>
      </c>
      <c r="F14" t="n">
        <v>12</v>
      </c>
      <c r="G14">
        <f>SUMIFS(Movimientos!$D:$D,Movimientos!$B:$B,B14,Movimientos!$C:$C,"Entrada")</f>
        <v/>
      </c>
      <c r="H14">
        <f>SUMIFS(Movimientos!$D:$D,Movimientos!$B:$B,B14,Movimientos!$C:$C,"Salida Venta")</f>
        <v/>
      </c>
      <c r="I14">
        <f>SUMIFS(Movimientos!$D:$D,Movimientos!$B:$B,B14,Movimientos!$C:$C,"Salida Uso")</f>
        <v/>
      </c>
      <c r="J14">
        <f>F14+G14-H14-I14</f>
        <v/>
      </c>
      <c r="K14" t="n">
        <v>4</v>
      </c>
      <c r="L14">
        <f>IF(J14&lt;=0,"CRITICO",IF(J14&lt;=K14,"REORDEN","OK"))</f>
        <v/>
      </c>
      <c r="M14">
        <f>J14*D14</f>
        <v/>
      </c>
    </row>
    <row r="15">
      <c r="A15" t="inlineStr">
        <is>
          <t>P014</t>
        </is>
      </c>
      <c r="B15" t="inlineStr">
        <is>
          <t>Mousse Volumen 250ml</t>
        </is>
      </c>
      <c r="C15" t="inlineStr">
        <is>
          <t>Styling</t>
        </is>
      </c>
      <c r="D15" t="n">
        <v>6</v>
      </c>
      <c r="E15" t="n">
        <v>14</v>
      </c>
      <c r="F15" t="n">
        <v>10</v>
      </c>
      <c r="G15">
        <f>SUMIFS(Movimientos!$D:$D,Movimientos!$B:$B,B15,Movimientos!$C:$C,"Entrada")</f>
        <v/>
      </c>
      <c r="H15">
        <f>SUMIFS(Movimientos!$D:$D,Movimientos!$B:$B,B15,Movimientos!$C:$C,"Salida Venta")</f>
        <v/>
      </c>
      <c r="I15">
        <f>SUMIFS(Movimientos!$D:$D,Movimientos!$B:$B,B15,Movimientos!$C:$C,"Salida Uso")</f>
        <v/>
      </c>
      <c r="J15">
        <f>F15+G15-H15-I15</f>
        <v/>
      </c>
      <c r="K15" t="n">
        <v>4</v>
      </c>
      <c r="L15">
        <f>IF(J15&lt;=0,"CRITICO",IF(J15&lt;=K15,"REORDEN","OK"))</f>
        <v/>
      </c>
      <c r="M15">
        <f>J15*D15</f>
        <v/>
      </c>
    </row>
    <row r="16">
      <c r="A16" t="inlineStr">
        <is>
          <t>P015</t>
        </is>
      </c>
      <c r="B16" t="inlineStr">
        <is>
          <t>Aceite Capilar 60ml</t>
        </is>
      </c>
      <c r="C16" t="inlineStr">
        <is>
          <t>Tratamiento</t>
        </is>
      </c>
      <c r="D16" t="n">
        <v>5.5</v>
      </c>
      <c r="E16" t="n">
        <v>16</v>
      </c>
      <c r="F16" t="n">
        <v>15</v>
      </c>
      <c r="G16">
        <f>SUMIFS(Movimientos!$D:$D,Movimientos!$B:$B,B16,Movimientos!$C:$C,"Entrada")</f>
        <v/>
      </c>
      <c r="H16">
        <f>SUMIFS(Movimientos!$D:$D,Movimientos!$B:$B,B16,Movimientos!$C:$C,"Salida Venta")</f>
        <v/>
      </c>
      <c r="I16">
        <f>SUMIFS(Movimientos!$D:$D,Movimientos!$B:$B,B16,Movimientos!$C:$C,"Salida Uso")</f>
        <v/>
      </c>
      <c r="J16">
        <f>F16+G16-H16-I16</f>
        <v/>
      </c>
      <c r="K16" t="n">
        <v>5</v>
      </c>
      <c r="L16">
        <f>IF(J16&lt;=0,"CRITICO",IF(J16&lt;=K16,"REORDEN","OK"))</f>
        <v/>
      </c>
      <c r="M16">
        <f>J16*D16</f>
        <v/>
      </c>
    </row>
    <row r="17">
      <c r="A17" t="inlineStr">
        <is>
          <t>P016</t>
        </is>
      </c>
      <c r="B17" t="inlineStr">
        <is>
          <t>Toallas Desechables (paq 100)</t>
        </is>
      </c>
      <c r="C17" t="inlineStr">
        <is>
          <t>Desechables</t>
        </is>
      </c>
      <c r="D17" t="n">
        <v>3.2</v>
      </c>
      <c r="E17" t="n">
        <v>8</v>
      </c>
      <c r="F17" t="n">
        <v>25</v>
      </c>
      <c r="G17">
        <f>SUMIFS(Movimientos!$D:$D,Movimientos!$B:$B,B17,Movimientos!$C:$C,"Entrada")</f>
        <v/>
      </c>
      <c r="H17">
        <f>SUMIFS(Movimientos!$D:$D,Movimientos!$B:$B,B17,Movimientos!$C:$C,"Salida Venta")</f>
        <v/>
      </c>
      <c r="I17">
        <f>SUMIFS(Movimientos!$D:$D,Movimientos!$B:$B,B17,Movimientos!$C:$C,"Salida Uso")</f>
        <v/>
      </c>
      <c r="J17">
        <f>F17+G17-H17-I17</f>
        <v/>
      </c>
      <c r="K17" t="n">
        <v>10</v>
      </c>
      <c r="L17">
        <f>IF(J17&lt;=0,"CRITICO",IF(J17&lt;=K17,"REORDEN","OK"))</f>
        <v/>
      </c>
      <c r="M17">
        <f>J17*D17</f>
        <v/>
      </c>
    </row>
    <row r="18">
      <c r="A18" t="inlineStr">
        <is>
          <t>P017</t>
        </is>
      </c>
      <c r="B18" t="inlineStr">
        <is>
          <t>Guantes Nitrilo (caja 100)</t>
        </is>
      </c>
      <c r="C18" t="inlineStr">
        <is>
          <t>Desechables</t>
        </is>
      </c>
      <c r="D18" t="n">
        <v>5.8</v>
      </c>
      <c r="E18" t="n">
        <v>12</v>
      </c>
      <c r="F18" t="n">
        <v>18</v>
      </c>
      <c r="G18">
        <f>SUMIFS(Movimientos!$D:$D,Movimientos!$B:$B,B18,Movimientos!$C:$C,"Entrada")</f>
        <v/>
      </c>
      <c r="H18">
        <f>SUMIFS(Movimientos!$D:$D,Movimientos!$B:$B,B18,Movimientos!$C:$C,"Salida Venta")</f>
        <v/>
      </c>
      <c r="I18">
        <f>SUMIFS(Movimientos!$D:$D,Movimientos!$B:$B,B18,Movimientos!$C:$C,"Salida Uso")</f>
        <v/>
      </c>
      <c r="J18">
        <f>F18+G18-H18-I18</f>
        <v/>
      </c>
      <c r="K18" t="n">
        <v>7</v>
      </c>
      <c r="L18">
        <f>IF(J18&lt;=0,"CRITICO",IF(J18&lt;=K18,"REORDEN","OK"))</f>
        <v/>
      </c>
      <c r="M18">
        <f>J18*D18</f>
        <v/>
      </c>
    </row>
    <row r="19">
      <c r="A19" t="inlineStr">
        <is>
          <t>P018</t>
        </is>
      </c>
      <c r="B19" t="inlineStr">
        <is>
          <t>Capa de Corte</t>
        </is>
      </c>
      <c r="C19" t="inlineStr">
        <is>
          <t>Herramientas</t>
        </is>
      </c>
      <c r="D19" t="n">
        <v>7.5</v>
      </c>
      <c r="E19" t="n">
        <v>18</v>
      </c>
      <c r="F19" t="n">
        <v>6</v>
      </c>
      <c r="G19">
        <f>SUMIFS(Movimientos!$D:$D,Movimientos!$B:$B,B19,Movimientos!$C:$C,"Entrada")</f>
        <v/>
      </c>
      <c r="H19">
        <f>SUMIFS(Movimientos!$D:$D,Movimientos!$B:$B,B19,Movimientos!$C:$C,"Salida Venta")</f>
        <v/>
      </c>
      <c r="I19">
        <f>SUMIFS(Movimientos!$D:$D,Movimientos!$B:$B,B19,Movimientos!$C:$C,"Salida Uso")</f>
        <v/>
      </c>
      <c r="J19">
        <f>F19+G19-H19-I19</f>
        <v/>
      </c>
      <c r="K19" t="n">
        <v>2</v>
      </c>
      <c r="L19">
        <f>IF(J19&lt;=0,"CRITICO",IF(J19&lt;=K19,"REORDEN","OK"))</f>
        <v/>
      </c>
      <c r="M19">
        <f>J19*D19</f>
        <v/>
      </c>
    </row>
    <row r="20">
      <c r="A20" t="inlineStr">
        <is>
          <t>P019</t>
        </is>
      </c>
      <c r="B20" t="inlineStr">
        <is>
          <t>Peine Profesional</t>
        </is>
      </c>
      <c r="C20" t="inlineStr">
        <is>
          <t>Herramientas</t>
        </is>
      </c>
      <c r="D20" t="n">
        <v>2.8</v>
      </c>
      <c r="E20" t="n">
        <v>7</v>
      </c>
      <c r="F20" t="n">
        <v>20</v>
      </c>
      <c r="G20">
        <f>SUMIFS(Movimientos!$D:$D,Movimientos!$B:$B,B20,Movimientos!$C:$C,"Entrada")</f>
        <v/>
      </c>
      <c r="H20">
        <f>SUMIFS(Movimientos!$D:$D,Movimientos!$B:$B,B20,Movimientos!$C:$C,"Salida Venta")</f>
        <v/>
      </c>
      <c r="I20">
        <f>SUMIFS(Movimientos!$D:$D,Movimientos!$B:$B,B20,Movimientos!$C:$C,"Salida Uso")</f>
        <v/>
      </c>
      <c r="J20">
        <f>F20+G20-H20-I20</f>
        <v/>
      </c>
      <c r="K20" t="n">
        <v>6</v>
      </c>
      <c r="L20">
        <f>IF(J20&lt;=0,"CRITICO",IF(J20&lt;=K20,"REORDEN","OK"))</f>
        <v/>
      </c>
      <c r="M20">
        <f>J20*D20</f>
        <v/>
      </c>
    </row>
    <row r="21">
      <c r="A21" t="inlineStr">
        <is>
          <t>P020</t>
        </is>
      </c>
      <c r="B21" t="inlineStr">
        <is>
          <t>Brocha Tinte</t>
        </is>
      </c>
      <c r="C21" t="inlineStr">
        <is>
          <t>Herramientas</t>
        </is>
      </c>
      <c r="D21" t="n">
        <v>1.9</v>
      </c>
      <c r="E21" t="n">
        <v>5.5</v>
      </c>
      <c r="F21" t="n">
        <v>22</v>
      </c>
      <c r="G21">
        <f>SUMIFS(Movimientos!$D:$D,Movimientos!$B:$B,B21,Movimientos!$C:$C,"Entrada")</f>
        <v/>
      </c>
      <c r="H21">
        <f>SUMIFS(Movimientos!$D:$D,Movimientos!$B:$B,B21,Movimientos!$C:$C,"Salida Venta")</f>
        <v/>
      </c>
      <c r="I21">
        <f>SUMIFS(Movimientos!$D:$D,Movimientos!$B:$B,B21,Movimientos!$C:$C,"Salida Uso")</f>
        <v/>
      </c>
      <c r="J21">
        <f>F21+G21-H21-I21</f>
        <v/>
      </c>
      <c r="K21" t="n">
        <v>8</v>
      </c>
      <c r="L21">
        <f>IF(J21&lt;=0,"CRITICO",IF(J21&lt;=K21,"REORDEN","OK"))</f>
        <v/>
      </c>
      <c r="M21">
        <f>J21*D21</f>
        <v/>
      </c>
    </row>
  </sheetData>
  <conditionalFormatting sqref="L2:L200">
    <cfRule type="expression" priority="1" dxfId="0">
      <formula>L2="CRITICO"</formula>
    </cfRule>
    <cfRule type="expression" priority="2" dxfId="1">
      <formula>L2="REORDEN"</formula>
    </cfRule>
    <cfRule type="expression" priority="3" dxfId="2">
      <formula>L2="OK"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18" customWidth="1" min="4" max="4"/>
  </cols>
  <sheetData>
    <row r="1">
      <c r="A1" s="1" t="inlineStr">
        <is>
          <t>Producto</t>
        </is>
      </c>
      <c r="B1" s="1" t="inlineStr">
        <is>
          <t>Stock Actual</t>
        </is>
      </c>
      <c r="C1" s="1" t="inlineStr">
        <is>
          <t>Stock Min</t>
        </is>
      </c>
      <c r="D1" s="1" t="inlineStr">
        <is>
          <t>Sugerido Comprar</t>
        </is>
      </c>
    </row>
    <row r="2">
      <c r="A2">
        <f>Inventario_vivo!B2</f>
        <v/>
      </c>
      <c r="B2">
        <f>Inventario_vivo!J2</f>
        <v/>
      </c>
      <c r="C2">
        <f>Inventario_vivo!K2</f>
        <v/>
      </c>
      <c r="D2">
        <f>MAX(C2-B2,0)</f>
        <v/>
      </c>
    </row>
    <row r="3">
      <c r="A3">
        <f>Inventario_vivo!B3</f>
        <v/>
      </c>
      <c r="B3">
        <f>Inventario_vivo!J3</f>
        <v/>
      </c>
      <c r="C3">
        <f>Inventario_vivo!K3</f>
        <v/>
      </c>
      <c r="D3">
        <f>MAX(C3-B3,0)</f>
        <v/>
      </c>
    </row>
    <row r="4">
      <c r="A4">
        <f>Inventario_vivo!B4</f>
        <v/>
      </c>
      <c r="B4">
        <f>Inventario_vivo!J4</f>
        <v/>
      </c>
      <c r="C4">
        <f>Inventario_vivo!K4</f>
        <v/>
      </c>
      <c r="D4">
        <f>MAX(C4-B4,0)</f>
        <v/>
      </c>
    </row>
    <row r="5">
      <c r="A5">
        <f>Inventario_vivo!B5</f>
        <v/>
      </c>
      <c r="B5">
        <f>Inventario_vivo!J5</f>
        <v/>
      </c>
      <c r="C5">
        <f>Inventario_vivo!K5</f>
        <v/>
      </c>
      <c r="D5">
        <f>MAX(C5-B5,0)</f>
        <v/>
      </c>
    </row>
    <row r="6">
      <c r="A6">
        <f>Inventario_vivo!B6</f>
        <v/>
      </c>
      <c r="B6">
        <f>Inventario_vivo!J6</f>
        <v/>
      </c>
      <c r="C6">
        <f>Inventario_vivo!K6</f>
        <v/>
      </c>
      <c r="D6">
        <f>MAX(C6-B6,0)</f>
        <v/>
      </c>
    </row>
    <row r="7">
      <c r="A7">
        <f>Inventario_vivo!B7</f>
        <v/>
      </c>
      <c r="B7">
        <f>Inventario_vivo!J7</f>
        <v/>
      </c>
      <c r="C7">
        <f>Inventario_vivo!K7</f>
        <v/>
      </c>
      <c r="D7">
        <f>MAX(C7-B7,0)</f>
        <v/>
      </c>
    </row>
    <row r="8">
      <c r="A8">
        <f>Inventario_vivo!B8</f>
        <v/>
      </c>
      <c r="B8">
        <f>Inventario_vivo!J8</f>
        <v/>
      </c>
      <c r="C8">
        <f>Inventario_vivo!K8</f>
        <v/>
      </c>
      <c r="D8">
        <f>MAX(C8-B8,0)</f>
        <v/>
      </c>
    </row>
    <row r="9">
      <c r="A9">
        <f>Inventario_vivo!B9</f>
        <v/>
      </c>
      <c r="B9">
        <f>Inventario_vivo!J9</f>
        <v/>
      </c>
      <c r="C9">
        <f>Inventario_vivo!K9</f>
        <v/>
      </c>
      <c r="D9">
        <f>MAX(C9-B9,0)</f>
        <v/>
      </c>
    </row>
    <row r="10">
      <c r="A10">
        <f>Inventario_vivo!B10</f>
        <v/>
      </c>
      <c r="B10">
        <f>Inventario_vivo!J10</f>
        <v/>
      </c>
      <c r="C10">
        <f>Inventario_vivo!K10</f>
        <v/>
      </c>
      <c r="D10">
        <f>MAX(C10-B10,0)</f>
        <v/>
      </c>
    </row>
    <row r="11">
      <c r="A11">
        <f>Inventario_vivo!B11</f>
        <v/>
      </c>
      <c r="B11">
        <f>Inventario_vivo!J11</f>
        <v/>
      </c>
      <c r="C11">
        <f>Inventario_vivo!K11</f>
        <v/>
      </c>
      <c r="D11">
        <f>MAX(C11-B11,0)</f>
        <v/>
      </c>
    </row>
    <row r="12">
      <c r="A12">
        <f>Inventario_vivo!B12</f>
        <v/>
      </c>
      <c r="B12">
        <f>Inventario_vivo!J12</f>
        <v/>
      </c>
      <c r="C12">
        <f>Inventario_vivo!K12</f>
        <v/>
      </c>
      <c r="D12">
        <f>MAX(C12-B12,0)</f>
        <v/>
      </c>
    </row>
    <row r="13">
      <c r="A13">
        <f>Inventario_vivo!B13</f>
        <v/>
      </c>
      <c r="B13">
        <f>Inventario_vivo!J13</f>
        <v/>
      </c>
      <c r="C13">
        <f>Inventario_vivo!K13</f>
        <v/>
      </c>
      <c r="D13">
        <f>MAX(C13-B13,0)</f>
        <v/>
      </c>
    </row>
    <row r="14">
      <c r="A14">
        <f>Inventario_vivo!B14</f>
        <v/>
      </c>
      <c r="B14">
        <f>Inventario_vivo!J14</f>
        <v/>
      </c>
      <c r="C14">
        <f>Inventario_vivo!K14</f>
        <v/>
      </c>
      <c r="D14">
        <f>MAX(C14-B14,0)</f>
        <v/>
      </c>
    </row>
    <row r="15">
      <c r="A15">
        <f>Inventario_vivo!B15</f>
        <v/>
      </c>
      <c r="B15">
        <f>Inventario_vivo!J15</f>
        <v/>
      </c>
      <c r="C15">
        <f>Inventario_vivo!K15</f>
        <v/>
      </c>
      <c r="D15">
        <f>MAX(C15-B15,0)</f>
        <v/>
      </c>
    </row>
    <row r="16">
      <c r="A16">
        <f>Inventario_vivo!B16</f>
        <v/>
      </c>
      <c r="B16">
        <f>Inventario_vivo!J16</f>
        <v/>
      </c>
      <c r="C16">
        <f>Inventario_vivo!K16</f>
        <v/>
      </c>
      <c r="D16">
        <f>MAX(C16-B16,0)</f>
        <v/>
      </c>
    </row>
    <row r="17">
      <c r="A17">
        <f>Inventario_vivo!B17</f>
        <v/>
      </c>
      <c r="B17">
        <f>Inventario_vivo!J17</f>
        <v/>
      </c>
      <c r="C17">
        <f>Inventario_vivo!K17</f>
        <v/>
      </c>
      <c r="D17">
        <f>MAX(C17-B17,0)</f>
        <v/>
      </c>
    </row>
    <row r="18">
      <c r="A18">
        <f>Inventario_vivo!B18</f>
        <v/>
      </c>
      <c r="B18">
        <f>Inventario_vivo!J18</f>
        <v/>
      </c>
      <c r="C18">
        <f>Inventario_vivo!K18</f>
        <v/>
      </c>
      <c r="D18">
        <f>MAX(C18-B18,0)</f>
        <v/>
      </c>
    </row>
    <row r="19">
      <c r="A19">
        <f>Inventario_vivo!B19</f>
        <v/>
      </c>
      <c r="B19">
        <f>Inventario_vivo!J19</f>
        <v/>
      </c>
      <c r="C19">
        <f>Inventario_vivo!K19</f>
        <v/>
      </c>
      <c r="D19">
        <f>MAX(C19-B19,0)</f>
        <v/>
      </c>
    </row>
    <row r="20">
      <c r="A20">
        <f>Inventario_vivo!B20</f>
        <v/>
      </c>
      <c r="B20">
        <f>Inventario_vivo!J20</f>
        <v/>
      </c>
      <c r="C20">
        <f>Inventario_vivo!K20</f>
        <v/>
      </c>
      <c r="D20">
        <f>MAX(C20-B20,0)</f>
        <v/>
      </c>
    </row>
    <row r="21">
      <c r="A21">
        <f>Inventario_vivo!B21</f>
        <v/>
      </c>
      <c r="B21">
        <f>Inventario_vivo!J21</f>
        <v/>
      </c>
      <c r="C21">
        <f>Inventario_vivo!K21</f>
        <v/>
      </c>
      <c r="D21">
        <f>MAX(C21-B21,0)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0" customWidth="1" min="2" max="2"/>
  </cols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Total productos</t>
        </is>
      </c>
      <c r="B2">
        <f>COUNTA(Inventario_vivo!B2:B200)</f>
        <v/>
      </c>
    </row>
    <row r="3">
      <c r="A3" t="inlineStr">
        <is>
          <t>Valor total inventario</t>
        </is>
      </c>
      <c r="B3">
        <f>SUM(Inventario_vivo!M2:M200)</f>
        <v/>
      </c>
    </row>
    <row r="4">
      <c r="A4" t="inlineStr">
        <is>
          <t>Productos en REORDEN</t>
        </is>
      </c>
      <c r="B4">
        <f>COUNTIF(Inventario_vivo!L2:L200,"REORDEN")</f>
        <v/>
      </c>
    </row>
    <row r="5">
      <c r="A5" t="inlineStr">
        <is>
          <t>Productos en CRITICO</t>
        </is>
      </c>
      <c r="B5">
        <f>COUNTIF(Inventario_vivo!L2:L200,"CRITICO")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2026-03-10T01:17:43Z</dcterms:created>
  <dcterms:modified xmlns:dcterms="http://purl.org/dc/terms/" xmlns:xsi="http://www.w3.org/2001/XMLSchema-instance" xsi:type="dcterms:W3CDTF">2026-03-10T01:17:43Z</dcterms:modified>
</cp:coreProperties>
</file>